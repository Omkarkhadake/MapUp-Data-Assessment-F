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451FC803-1E2C-403F-9ACC-21898F4594B9}" xr6:coauthVersionLast="47" xr6:coauthVersionMax="47" xr10:uidLastSave="{00000000-0000-0000-0000-000000000000}"/>
  <bookViews>
    <workbookView xWindow="-110" yWindow="-110" windowWidth="19420" windowHeight="1042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Dataset!$A$1:$X$40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Table_A">Task_5!$A$10:$J$18</definedName>
    <definedName name="Table_B">Task_5!$M$10:$N$18</definedName>
    <definedName name="Table_C">Task_5!$A$23:$B$35</definedName>
  </definedNames>
  <calcPr calcId="191029"/>
</workbook>
</file>

<file path=xl/calcChain.xml><?xml version="1.0" encoding="utf-8"?>
<calcChain xmlns="http://schemas.openxmlformats.org/spreadsheetml/2006/main">
  <c r="C25" i="19" l="1"/>
  <c r="F30" i="18"/>
  <c r="C30" i="18"/>
  <c r="D30" i="18"/>
  <c r="E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D5" i="15"/>
</calcChain>
</file>

<file path=xl/sharedStrings.xml><?xml version="1.0" encoding="utf-8"?>
<sst xmlns="http://schemas.openxmlformats.org/spreadsheetml/2006/main" count="409" uniqueCount="186">
  <si>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</si>
  <si>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</si>
  <si>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</si>
  <si>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</si>
  <si>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</si>
  <si>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</si>
  <si>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</si>
  <si>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</si>
  <si>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</si>
  <si>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</si>
  <si>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</si>
  <si>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</si>
  <si>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</si>
  <si>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</si>
  <si>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</si>
  <si>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</si>
  <si>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</si>
  <si>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</si>
  <si>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</si>
  <si>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</si>
  <si>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</si>
  <si>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</si>
  <si>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</si>
  <si>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</si>
  <si>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</si>
  <si>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</si>
  <si>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</si>
  <si>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</si>
  <si>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</si>
  <si>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</si>
  <si>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</si>
  <si>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</si>
  <si>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</si>
  <si>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</si>
  <si>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</si>
  <si>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</si>
  <si>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</si>
  <si>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</si>
  <si>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</si>
  <si>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</si>
  <si>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</si>
  <si>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</si>
  <si>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</si>
  <si>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</si>
  <si>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</si>
  <si>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</si>
  <si>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</si>
  <si>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</si>
  <si>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</si>
  <si>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</si>
  <si>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</si>
  <si>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</si>
  <si>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</si>
  <si>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</si>
  <si>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</si>
  <si>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</si>
  <si>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</si>
  <si>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</si>
  <si>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</si>
  <si>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</si>
  <si>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</si>
  <si>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</si>
  <si>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</si>
  <si>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</si>
  <si>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</si>
  <si>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</si>
  <si>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</si>
  <si>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</si>
  <si>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</si>
  <si>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</si>
  <si>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</si>
  <si>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</si>
  <si>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</si>
  <si>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</si>
  <si>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</si>
  <si>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</si>
  <si>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</si>
  <si>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</si>
  <si>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</si>
  <si>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</si>
  <si>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</si>
  <si>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</si>
  <si>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</si>
  <si>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</si>
  <si>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</si>
  <si>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</si>
  <si>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</si>
  <si>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</si>
  <si>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</si>
  <si>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</si>
  <si>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</si>
  <si>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</si>
  <si>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</si>
  <si>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</si>
  <si>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</si>
  <si>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</si>
  <si>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</si>
  <si>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</si>
  <si>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</si>
  <si>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</si>
  <si>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</si>
  <si>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</si>
  <si>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</si>
  <si>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</si>
  <si>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</si>
  <si>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</si>
  <si>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</si>
  <si>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</si>
  <si>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</si>
  <si>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</si>
  <si>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</si>
  <si>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</si>
  <si>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</si>
  <si>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</si>
  <si>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</si>
  <si>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</si>
  <si>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</si>
  <si>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</si>
  <si>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</si>
  <si>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</si>
  <si>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</si>
  <si>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</si>
  <si>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</si>
  <si>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</si>
  <si>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</si>
  <si>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</si>
  <si>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</si>
  <si>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</si>
  <si>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</si>
  <si>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</si>
  <si>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</si>
  <si>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</si>
  <si>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</si>
  <si>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</si>
  <si>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</si>
  <si>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</si>
  <si>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</si>
  <si>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</si>
  <si>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</si>
  <si>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</si>
  <si>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</si>
  <si>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</si>
  <si>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</si>
  <si>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</si>
  <si>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</si>
  <si>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</si>
  <si>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</si>
  <si>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</si>
  <si>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</si>
  <si>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</si>
  <si>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</si>
  <si>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</si>
  <si>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</si>
  <si>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</si>
  <si>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</si>
  <si>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</si>
  <si>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</si>
  <si>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</si>
  <si>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</si>
  <si>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</si>
  <si>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</si>
  <si>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</si>
  <si>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</si>
  <si>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</si>
  <si>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</si>
  <si>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</si>
  <si>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</si>
  <si>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</si>
  <si>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</si>
  <si>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</si>
  <si>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</si>
  <si>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</si>
  <si>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</si>
  <si>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</si>
  <si>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</si>
  <si>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</si>
  <si>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</si>
  <si>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</si>
  <si>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To Solve This Task_3 I have used build in functionality  Name is " TEXT TO COLUMNS"</t>
  </si>
  <si>
    <t xml:space="preserve"> Setp 1. copy the "#N/A"</t>
  </si>
  <si>
    <t xml:space="preserve">To Solve Task_4 I have use Excel Functionality,. </t>
  </si>
  <si>
    <t xml:space="preserve">step 2. Select the range from C12:C21. </t>
  </si>
  <si>
    <t xml:space="preserve">Step 3. Click "Ctrl +F" and then click on replace </t>
  </si>
  <si>
    <t>Step 4. Replace the value</t>
  </si>
  <si>
    <t>Replace Functionality Used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</si>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</sst>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6" fillId="0" borderId="0">
      <alignment vertical="top" wrapText="1"/>
    </xf>
    <xf numFmtId="0" fontId="2" fillId="0" borderId="0"/>
  </cellStyleXfs>
  <cellXfs count="48">
    <xf numFmtId="0" fontId="0" fillId="0" borderId="0" xfId="0"/>
    <xf numFmtId="0" fontId="4" fillId="0" borderId="0" xfId="0" applyFont="1"/>
    <xf numFmtId="0" fontId="9" fillId="0" borderId="0" xfId="0" applyFont="1"/>
    <xf numFmtId="0" fontId="8" fillId="0" borderId="0" xfId="0" applyFont="1"/>
    <xf numFmtId="0" fontId="12" fillId="4" borderId="0" xfId="0" applyFont="1" applyFill="1"/>
    <xf numFmtId="0" fontId="7" fillId="0" borderId="0" xfId="0" applyFont="1"/>
    <xf numFmtId="0" fontId="5" fillId="0" borderId="0" xfId="0" applyFont="1" applyAlignment="1">
      <alignment horizontal="center"/>
    </xf>
    <xf numFmtId="0" fontId="4" fillId="0" borderId="2" xfId="0" applyFont="1" applyBorder="1"/>
    <xf numFmtId="0" fontId="4" fillId="0" borderId="4" xfId="0" applyFont="1" applyBorder="1"/>
    <xf numFmtId="0" fontId="4" fillId="0" borderId="5" xfId="0" applyFont="1" applyBorder="1"/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4" fillId="0" borderId="9" xfId="0" applyFont="1" applyBorder="1"/>
    <xf numFmtId="0" fontId="4" fillId="0" borderId="10" xfId="0" applyFont="1" applyBorder="1"/>
    <xf numFmtId="0" fontId="4" fillId="0" borderId="11" xfId="0" applyFont="1" applyBorder="1"/>
    <xf numFmtId="0" fontId="4" fillId="0" borderId="1" xfId="0" applyFont="1" applyBorder="1"/>
    <xf numFmtId="0" fontId="13" fillId="0" borderId="0" xfId="1" applyFont="1"/>
    <xf numFmtId="0" fontId="8" fillId="0" borderId="1" xfId="0" applyFont="1" applyBorder="1"/>
    <xf numFmtId="0" fontId="8" fillId="2" borderId="1" xfId="0" applyFont="1" applyFill="1" applyBorder="1"/>
    <xf numFmtId="0" fontId="8" fillId="3" borderId="1" xfId="0" applyFont="1" applyFill="1" applyBorder="1"/>
    <xf numFmtId="164" fontId="4" fillId="0" borderId="0" xfId="0" applyNumberFormat="1" applyFont="1"/>
    <xf numFmtId="0" fontId="9" fillId="0" borderId="1" xfId="0" applyFont="1" applyBorder="1"/>
    <xf numFmtId="0" fontId="10" fillId="0" borderId="1" xfId="0" applyFont="1" applyBorder="1"/>
    <xf numFmtId="0" fontId="5" fillId="0" borderId="0" xfId="0" applyFont="1"/>
    <xf numFmtId="164" fontId="5" fillId="0" borderId="0" xfId="0" applyNumberFormat="1" applyFont="1"/>
    <xf numFmtId="0" fontId="8" fillId="2" borderId="0" xfId="0" applyFont="1" applyFill="1"/>
    <xf numFmtId="0" fontId="8" fillId="3" borderId="0" xfId="0" applyFont="1" applyFill="1"/>
    <xf numFmtId="165" fontId="4" fillId="0" borderId="1" xfId="0" applyNumberFormat="1" applyFont="1" applyBorder="1"/>
    <xf numFmtId="0" fontId="8" fillId="0" borderId="1" xfId="0" applyFont="1" applyBorder="1" applyAlignment="1">
      <alignment vertical="center"/>
    </xf>
    <xf numFmtId="0" fontId="15" fillId="0" borderId="0" xfId="0" applyFont="1"/>
    <xf numFmtId="0" fontId="9" fillId="0" borderId="2" xfId="0" applyFont="1" applyBorder="1"/>
    <xf numFmtId="0" fontId="10" fillId="0" borderId="9" xfId="0" applyFont="1" applyBorder="1"/>
    <xf numFmtId="0" fontId="9" fillId="0" borderId="7" xfId="0" applyFont="1" applyBorder="1"/>
    <xf numFmtId="0" fontId="9" fillId="0" borderId="9" xfId="0" applyFont="1" applyBorder="1"/>
    <xf numFmtId="0" fontId="14" fillId="0" borderId="1" xfId="0" applyFont="1" applyBorder="1"/>
    <xf numFmtId="0" fontId="16" fillId="0" borderId="0" xfId="0" applyFont="1"/>
    <xf numFmtId="0" fontId="17" fillId="0" borderId="0" xfId="0" applyFont="1"/>
    <xf numFmtId="0" fontId="18" fillId="4" borderId="0" xfId="1" applyFont="1" applyFill="1" applyAlignment="1">
      <alignment horizontal="center"/>
    </xf>
    <xf numFmtId="0" fontId="14" fillId="0" borderId="0" xfId="0" applyFont="1"/>
    <xf numFmtId="0" fontId="9" fillId="0" borderId="3" xfId="0" applyFont="1" applyBorder="1"/>
    <xf numFmtId="0" fontId="9" fillId="0" borderId="6" xfId="0" applyFont="1" applyBorder="1"/>
    <xf numFmtId="166" fontId="4" fillId="0" borderId="0" xfId="0" applyNumberFormat="1" applyFont="1"/>
    <xf numFmtId="166" fontId="8" fillId="0" borderId="0" xfId="0" applyNumberFormat="1" applyFont="1"/>
    <xf numFmtId="0" fontId="13" fillId="0" borderId="1" xfId="1" applyFont="1" applyBorder="1"/>
    <xf numFmtId="0" fontId="16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B14" sqref="B14"/>
    </sheetView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5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5" x14ac:dyDescent="0.35">
      <c r="A4" s="2" t="s">
        <v>112</v>
      </c>
      <c r="C4" s="1"/>
    </row>
    <row r="5" spans="1:3" x14ac:dyDescent="0.3">
      <c r="A5" s="2" t="s">
        <v>153</v>
      </c>
    </row>
    <row r="8" spans="1:3" x14ac:dyDescent="0.3">
      <c r="A8" s="2" t="s">
        <v>174</v>
      </c>
    </row>
    <row r="9" spans="1:3" x14ac:dyDescent="0.3">
      <c r="A9" s="32" t="s">
        <v>172</v>
      </c>
      <c r="B9" s="23" t="s">
        <v>170</v>
      </c>
    </row>
    <row r="10" spans="1:3" x14ac:dyDescent="0.3">
      <c r="A10" s="31" t="s">
        <v>173</v>
      </c>
      <c r="B10" s="33">
        <v>25</v>
      </c>
    </row>
    <row r="11" spans="1:3" x14ac:dyDescent="0.3">
      <c r="A11" s="31" t="s">
        <v>55</v>
      </c>
      <c r="B11" s="33">
        <v>30</v>
      </c>
    </row>
    <row r="12" spans="1:3" x14ac:dyDescent="0.3">
      <c r="A12" s="31" t="s">
        <v>56</v>
      </c>
      <c r="B12" s="33">
        <v>10</v>
      </c>
    </row>
    <row r="13" spans="1:3" x14ac:dyDescent="0.3">
      <c r="A13" s="31" t="s">
        <v>85</v>
      </c>
      <c r="B13" s="33">
        <v>20</v>
      </c>
    </row>
    <row r="14" spans="1:3" x14ac:dyDescent="0.3">
      <c r="A14" s="31" t="s">
        <v>98</v>
      </c>
      <c r="B14" s="33">
        <v>40</v>
      </c>
    </row>
    <row r="15" spans="1:3" x14ac:dyDescent="0.3">
      <c r="A15" s="34" t="s">
        <v>171</v>
      </c>
      <c r="B15" s="22">
        <v>125</v>
      </c>
    </row>
  </sheetData>
  <phoneticPr fontId="1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K1" zoomScale="85" zoomScaleNormal="85" workbookViewId="0">
      <pane ySplit="1" topLeftCell="A17" activePane="bottomLeft" state="frozen"/>
      <selection activeCell="L1" sqref="L1"/>
      <selection pane="bottomLeft" activeCell="X25" sqref="X25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1" customWidth="1"/>
    <col min="5" max="5" width="9.19921875" style="1" bestFit="1" customWidth="1"/>
    <col min="6" max="6" width="10.3984375" style="21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42" bestFit="1" customWidth="1"/>
    <col min="25" max="16384" width="9" style="1"/>
  </cols>
  <sheetData>
    <row r="1" spans="1:24" s="3" customFormat="1" ht="14.75" customHeight="1" x14ac:dyDescent="0.35">
      <c r="A1" s="24" t="s">
        <v>64</v>
      </c>
      <c r="B1" s="24" t="s">
        <v>43</v>
      </c>
      <c r="C1" s="24" t="s">
        <v>0</v>
      </c>
      <c r="D1" s="25" t="s">
        <v>1</v>
      </c>
      <c r="E1" s="24" t="s">
        <v>2</v>
      </c>
      <c r="F1" s="25" t="s">
        <v>3</v>
      </c>
      <c r="G1" s="26" t="s">
        <v>79</v>
      </c>
      <c r="H1" s="26" t="s">
        <v>65</v>
      </c>
      <c r="I1" s="26" t="s">
        <v>66</v>
      </c>
      <c r="J1" s="27" t="s">
        <v>67</v>
      </c>
      <c r="K1" s="27" t="s">
        <v>68</v>
      </c>
      <c r="L1" s="27" t="s">
        <v>69</v>
      </c>
      <c r="M1" s="26" t="s">
        <v>70</v>
      </c>
      <c r="N1" s="26" t="s">
        <v>71</v>
      </c>
      <c r="O1" s="26" t="s">
        <v>72</v>
      </c>
      <c r="P1" s="27" t="s">
        <v>73</v>
      </c>
      <c r="Q1" s="27" t="s">
        <v>74</v>
      </c>
      <c r="R1" s="27" t="s">
        <v>75</v>
      </c>
      <c r="S1" s="26" t="s">
        <v>80</v>
      </c>
      <c r="T1" s="26" t="s">
        <v>76</v>
      </c>
      <c r="U1" s="27" t="s">
        <v>81</v>
      </c>
      <c r="V1" s="27" t="s">
        <v>77</v>
      </c>
      <c r="W1" s="27" t="s">
        <v>78</v>
      </c>
      <c r="X1" s="43" t="s">
        <v>106</v>
      </c>
    </row>
    <row r="2" spans="1:24" x14ac:dyDescent="0.35">
      <c r="A2" s="1" t="s">
        <v>40</v>
      </c>
      <c r="B2" s="1">
        <v>20000</v>
      </c>
      <c r="C2" s="1" t="s">
        <v>5</v>
      </c>
      <c r="D2" s="21">
        <v>0</v>
      </c>
      <c r="E2" s="1" t="s">
        <v>6</v>
      </c>
      <c r="F2" s="21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2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1">
        <v>0</v>
      </c>
      <c r="E3" s="1" t="s">
        <v>6</v>
      </c>
      <c r="F3" s="21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2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1">
        <v>0</v>
      </c>
      <c r="E4" s="1" t="s">
        <v>6</v>
      </c>
      <c r="F4" s="21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2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1">
        <v>0</v>
      </c>
      <c r="E5" s="1" t="s">
        <v>6</v>
      </c>
      <c r="F5" s="21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2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1">
        <v>0</v>
      </c>
      <c r="E6" s="1" t="s">
        <v>6</v>
      </c>
      <c r="F6" s="21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2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1">
        <v>0</v>
      </c>
      <c r="E7" s="1" t="s">
        <v>6</v>
      </c>
      <c r="F7" s="21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2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1">
        <v>0</v>
      </c>
      <c r="E8" s="1" t="s">
        <v>6</v>
      </c>
      <c r="F8" s="21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2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1">
        <v>0</v>
      </c>
      <c r="E9" s="1" t="s">
        <v>6</v>
      </c>
      <c r="F9" s="21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2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1">
        <v>0</v>
      </c>
      <c r="E10" s="1" t="s">
        <v>6</v>
      </c>
      <c r="F10" s="21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2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1">
        <v>0</v>
      </c>
      <c r="E11" s="1" t="s">
        <v>6</v>
      </c>
      <c r="F11" s="21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2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1">
        <v>0</v>
      </c>
      <c r="E12" s="1" t="s">
        <v>6</v>
      </c>
      <c r="F12" s="21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2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1">
        <v>0</v>
      </c>
      <c r="E13" s="1" t="s">
        <v>6</v>
      </c>
      <c r="F13" s="21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2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1">
        <v>0</v>
      </c>
      <c r="E14" s="1" t="s">
        <v>6</v>
      </c>
      <c r="F14" s="21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2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1">
        <v>0</v>
      </c>
      <c r="E15" s="1" t="s">
        <v>6</v>
      </c>
      <c r="F15" s="21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2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1">
        <v>0</v>
      </c>
      <c r="E16" s="1" t="s">
        <v>6</v>
      </c>
      <c r="F16" s="21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2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1">
        <v>0</v>
      </c>
      <c r="E17" s="1" t="s">
        <v>6</v>
      </c>
      <c r="F17" s="21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2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1">
        <v>0</v>
      </c>
      <c r="E18" s="1" t="s">
        <v>6</v>
      </c>
      <c r="F18" s="21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2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1">
        <v>0</v>
      </c>
      <c r="E19" s="1" t="s">
        <v>6</v>
      </c>
      <c r="F19" s="21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2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1">
        <v>0</v>
      </c>
      <c r="E20" s="1" t="s">
        <v>6</v>
      </c>
      <c r="F20" s="21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2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1">
        <v>0</v>
      </c>
      <c r="E21" s="1" t="s">
        <v>6</v>
      </c>
      <c r="F21" s="21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2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1">
        <v>0</v>
      </c>
      <c r="E22" s="1" t="s">
        <v>6</v>
      </c>
      <c r="F22" s="21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2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1">
        <v>0</v>
      </c>
      <c r="E23" s="1" t="s">
        <v>6</v>
      </c>
      <c r="F23" s="21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2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1">
        <v>0</v>
      </c>
      <c r="E24" s="1" t="s">
        <v>6</v>
      </c>
      <c r="F24" s="21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2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1">
        <v>0</v>
      </c>
      <c r="E25" s="1" t="s">
        <v>6</v>
      </c>
      <c r="F25" s="21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2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1">
        <v>0</v>
      </c>
      <c r="E26" s="1" t="s">
        <v>6</v>
      </c>
      <c r="F26" s="21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2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1">
        <v>0</v>
      </c>
      <c r="E27" s="1" t="s">
        <v>6</v>
      </c>
      <c r="F27" s="21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2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1">
        <v>0</v>
      </c>
      <c r="E28" s="1" t="s">
        <v>6</v>
      </c>
      <c r="F28" s="21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2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1">
        <v>0</v>
      </c>
      <c r="E29" s="1" t="s">
        <v>6</v>
      </c>
      <c r="F29" s="21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2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1">
        <v>0</v>
      </c>
      <c r="E30" s="1" t="s">
        <v>6</v>
      </c>
      <c r="F30" s="21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2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1">
        <v>0</v>
      </c>
      <c r="E31" s="1" t="s">
        <v>6</v>
      </c>
      <c r="F31" s="21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2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1">
        <v>0</v>
      </c>
      <c r="E32" s="1" t="s">
        <v>6</v>
      </c>
      <c r="F32" s="21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2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1">
        <v>0</v>
      </c>
      <c r="E33" s="1" t="s">
        <v>6</v>
      </c>
      <c r="F33" s="21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2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1">
        <v>0</v>
      </c>
      <c r="E34" s="1" t="s">
        <v>6</v>
      </c>
      <c r="F34" s="21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2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1">
        <v>0</v>
      </c>
      <c r="E35" s="1" t="s">
        <v>6</v>
      </c>
      <c r="F35" s="21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2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1">
        <v>0</v>
      </c>
      <c r="E36" s="1" t="s">
        <v>6</v>
      </c>
      <c r="F36" s="21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2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1">
        <v>0</v>
      </c>
      <c r="E37" s="1" t="s">
        <v>6</v>
      </c>
      <c r="F37" s="21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2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1">
        <v>0</v>
      </c>
      <c r="E38" s="1" t="s">
        <v>6</v>
      </c>
      <c r="F38" s="21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2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1">
        <v>0</v>
      </c>
      <c r="E39" s="1" t="s">
        <v>6</v>
      </c>
      <c r="F39" s="21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2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1">
        <v>0</v>
      </c>
      <c r="E40" s="1" t="s">
        <v>6</v>
      </c>
      <c r="F40" s="21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2">
        <v>45162</v>
      </c>
    </row>
  </sheetData>
  <autoFilter ref="A1:X40" xr:uid="{00000000-0001-0000-0000-000000000000}"/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1:W40">
    <cfRule type="cellIs" dxfId="1" priority="1" operator="equal">
      <formula>-1</formula>
    </cfRule>
    <cfRule type="cellIs" dxfId="0" priority="2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D1" sqref="D1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177</v>
      </c>
    </row>
    <row r="2" spans="1:5" x14ac:dyDescent="0.35">
      <c r="A2" s="2"/>
      <c r="B2" s="5" t="s">
        <v>161</v>
      </c>
      <c r="C2" s="2"/>
    </row>
    <row r="3" spans="1:5" x14ac:dyDescent="0.35">
      <c r="A3" s="6">
        <v>1</v>
      </c>
      <c r="B3" s="2" t="s">
        <v>108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0" t="s">
        <v>105</v>
      </c>
      <c r="D5" s="1">
        <f>SUMIF(Dataset!H:H,"&gt;20",Dataset!H:H)</f>
        <v>1473.0000000000002</v>
      </c>
      <c r="E5" s="1">
        <v>10</v>
      </c>
    </row>
    <row r="6" spans="1:5" x14ac:dyDescent="0.35">
      <c r="A6" s="6">
        <v>4</v>
      </c>
      <c r="B6" s="2" t="s">
        <v>107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="85" zoomScaleNormal="85" workbookViewId="0">
      <selection activeCell="D16" sqref="D16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37" customFormat="1" ht="21" x14ac:dyDescent="0.5">
      <c r="A1" s="38" t="s">
        <v>55</v>
      </c>
      <c r="B1" s="37" t="s">
        <v>165</v>
      </c>
    </row>
    <row r="2" spans="1:7" s="37" customFormat="1" ht="21" x14ac:dyDescent="0.5">
      <c r="B2" s="37" t="s">
        <v>162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44" t="s">
        <v>163</v>
      </c>
      <c r="B4" s="16"/>
      <c r="C4" s="16"/>
      <c r="D4" s="16"/>
      <c r="E4" s="16"/>
      <c r="F4" s="16"/>
      <c r="G4" s="1"/>
    </row>
    <row r="5" spans="1:7" ht="14.5" x14ac:dyDescent="0.35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19" t="s">
        <v>77</v>
      </c>
    </row>
    <row r="6" spans="1:7" ht="14.5" x14ac:dyDescent="0.35">
      <c r="A6" s="16" t="s">
        <v>40</v>
      </c>
      <c r="B6" s="16">
        <f>VLOOKUP(A6,Dataset!A:G,7,0)</f>
        <v>2.7</v>
      </c>
      <c r="C6" s="16">
        <f>VLOOKUP(A6,Dataset!A:N,14,0)</f>
        <v>7.6</v>
      </c>
      <c r="D6" s="16">
        <f>VLOOKUP(A6,Dataset!A:R,18,0)</f>
        <v>4.2</v>
      </c>
      <c r="E6" s="16">
        <f>VLOOKUP(A6,Dataset!A:T,20,0)</f>
        <v>8.9</v>
      </c>
      <c r="F6" s="16">
        <f>VLOOKUP(A6,Dataset!A:V,22,0)</f>
        <v>4.2</v>
      </c>
    </row>
    <row r="7" spans="1:7" ht="14.5" x14ac:dyDescent="0.35">
      <c r="A7" s="16" t="s">
        <v>4</v>
      </c>
      <c r="B7" s="16">
        <f>VLOOKUP(A7,Dataset!A:G,7,0)</f>
        <v>2.7</v>
      </c>
      <c r="C7" s="16">
        <f>VLOOKUP(A7,Dataset!A:N,14,0)</f>
        <v>7.6</v>
      </c>
      <c r="D7" s="16">
        <f>VLOOKUP(A7,Dataset!A:R,18,0)</f>
        <v>4.2</v>
      </c>
      <c r="E7" s="16">
        <f>VLOOKUP(A7,Dataset!A:T,20,0)</f>
        <v>8.9</v>
      </c>
      <c r="F7" s="16">
        <f>VLOOKUP(A7,Dataset!A:V,22,0)</f>
        <v>4.2</v>
      </c>
    </row>
    <row r="8" spans="1:7" ht="14.5" x14ac:dyDescent="0.35">
      <c r="A8" s="16" t="s">
        <v>7</v>
      </c>
      <c r="B8" s="16">
        <f>VLOOKUP(A8,Dataset!A:G,7,0)</f>
        <v>3.6</v>
      </c>
      <c r="C8" s="16">
        <f>VLOOKUP(A8,Dataset!A:N,14,0)</f>
        <v>11.1</v>
      </c>
      <c r="D8" s="16">
        <f>VLOOKUP(A8,Dataset!A:R,18,0)</f>
        <v>5.8</v>
      </c>
      <c r="E8" s="16">
        <f>VLOOKUP(A8,Dataset!A:T,20,0)</f>
        <v>12.2</v>
      </c>
      <c r="F8" s="16">
        <f>VLOOKUP(A8,Dataset!A:V,22,0)</f>
        <v>5.8</v>
      </c>
    </row>
    <row r="9" spans="1:7" ht="14.5" x14ac:dyDescent="0.35">
      <c r="A9" s="16" t="s">
        <v>8</v>
      </c>
      <c r="B9" s="16">
        <f>VLOOKUP(A9,Dataset!A:G,7,0)</f>
        <v>4.9000000000000004</v>
      </c>
      <c r="C9" s="16">
        <f>VLOOKUP(A9,Dataset!A:N,14,0)</f>
        <v>13.3</v>
      </c>
      <c r="D9" s="16">
        <f>VLOOKUP(A9,Dataset!A:R,18,0)</f>
        <v>8.1</v>
      </c>
      <c r="E9" s="16">
        <f>VLOOKUP(A9,Dataset!A:T,20,0)</f>
        <v>17</v>
      </c>
      <c r="F9" s="16">
        <f>VLOOKUP(A9,Dataset!A:V,22,0)</f>
        <v>8.1</v>
      </c>
    </row>
    <row r="10" spans="1:7" ht="14.5" x14ac:dyDescent="0.35">
      <c r="A10" s="16" t="s">
        <v>11</v>
      </c>
      <c r="B10" s="16">
        <f>VLOOKUP(A10,Dataset!A:G,7,0)</f>
        <v>9.4</v>
      </c>
      <c r="C10" s="16">
        <f>VLOOKUP(A10,Dataset!A:N,14,0)</f>
        <v>28.3</v>
      </c>
      <c r="D10" s="16">
        <f>VLOOKUP(A10,Dataset!A:R,18,0)</f>
        <v>16.100000000000001</v>
      </c>
      <c r="E10" s="16">
        <f>VLOOKUP(A10,Dataset!A:T,20,0)</f>
        <v>32.799999999999997</v>
      </c>
      <c r="F10" s="16">
        <f>VLOOKUP(A10,Dataset!A:V,22,0)</f>
        <v>16.100000000000001</v>
      </c>
    </row>
    <row r="11" spans="1:7" ht="14.5" x14ac:dyDescent="0.35">
      <c r="A11" s="16" t="s">
        <v>12</v>
      </c>
      <c r="B11" s="16">
        <f>VLOOKUP(A11,Dataset!A:G,7,0)</f>
        <v>11.6</v>
      </c>
      <c r="C11" s="16">
        <f>VLOOKUP(A11,Dataset!A:N,14,0)</f>
        <v>35.200000000000003</v>
      </c>
      <c r="D11" s="16">
        <f>VLOOKUP(A11,Dataset!A:R,18,0)</f>
        <v>21.3</v>
      </c>
      <c r="E11" s="16">
        <f>VLOOKUP(A11,Dataset!A:T,20,0)</f>
        <v>43</v>
      </c>
      <c r="F11" s="16">
        <f>VLOOKUP(A11,Dataset!A:V,22,0)</f>
        <v>21.3</v>
      </c>
    </row>
    <row r="12" spans="1:7" ht="14.5" x14ac:dyDescent="0.35">
      <c r="A12" s="16" t="s">
        <v>14</v>
      </c>
      <c r="B12" s="16">
        <f>VLOOKUP(A12,Dataset!A:G,7,0)</f>
        <v>18.399999999999999</v>
      </c>
      <c r="C12" s="16">
        <f>VLOOKUP(A12,Dataset!A:N,14,0)</f>
        <v>55.6</v>
      </c>
      <c r="D12" s="16">
        <f>VLOOKUP(A12,Dataset!A:R,18,0)</f>
        <v>33.799999999999997</v>
      </c>
      <c r="E12" s="16">
        <f>VLOOKUP(A12,Dataset!A:T,20,0)</f>
        <v>67.900000000000006</v>
      </c>
      <c r="F12" s="16">
        <f>VLOOKUP(A12,Dataset!A:V,22,0)</f>
        <v>33.799999999999997</v>
      </c>
    </row>
    <row r="13" spans="1:7" ht="14.5" x14ac:dyDescent="0.35">
      <c r="A13" s="16" t="s">
        <v>15</v>
      </c>
      <c r="B13" s="16">
        <f>VLOOKUP(A13,Dataset!A:G,7,0)</f>
        <v>0</v>
      </c>
      <c r="C13" s="16">
        <f>VLOOKUP(A13,Dataset!A:N,14,0)</f>
        <v>0</v>
      </c>
      <c r="D13" s="16">
        <f>VLOOKUP(A13,Dataset!A:R,18,0)</f>
        <v>0</v>
      </c>
      <c r="E13" s="16">
        <f>VLOOKUP(A13,Dataset!A:T,20,0)</f>
        <v>0</v>
      </c>
      <c r="F13" s="16">
        <f>VLOOKUP(A13,Dataset!A:V,22,0)</f>
        <v>0</v>
      </c>
    </row>
    <row r="14" spans="1:7" ht="14.5" x14ac:dyDescent="0.35">
      <c r="A14" s="16" t="s">
        <v>16</v>
      </c>
      <c r="B14" s="16">
        <f>VLOOKUP(A14,Dataset!A:G,7,0)</f>
        <v>21.9</v>
      </c>
      <c r="C14" s="16">
        <f>VLOOKUP(A14,Dataset!A:N,14,0)</f>
        <v>61.5</v>
      </c>
      <c r="D14" s="16">
        <f>VLOOKUP(A14,Dataset!A:R,18,0)</f>
        <v>40.1</v>
      </c>
      <c r="E14" s="16">
        <f>VLOOKUP(A14,Dataset!A:T,20,0)</f>
        <v>76.599999999999994</v>
      </c>
      <c r="F14" s="16">
        <f>VLOOKUP(A14,Dataset!A:V,22,0)</f>
        <v>40.1</v>
      </c>
    </row>
    <row r="15" spans="1:7" ht="14.5" x14ac:dyDescent="0.35">
      <c r="A15" s="16" t="s">
        <v>18</v>
      </c>
      <c r="B15" s="16">
        <f>VLOOKUP(A15,Dataset!A:G,7,0)</f>
        <v>26.8</v>
      </c>
      <c r="C15" s="16">
        <f>VLOOKUP(A15,Dataset!A:N,14,0)</f>
        <v>79.599999999999994</v>
      </c>
      <c r="D15" s="16">
        <f>VLOOKUP(A15,Dataset!A:R,18,0)</f>
        <v>47.9</v>
      </c>
      <c r="E15" s="16">
        <f>VLOOKUP(A15,Dataset!A:T,20,0)</f>
        <v>96.8</v>
      </c>
      <c r="F15" s="16">
        <f>VLOOKUP(A15,Dataset!A:V,22,0)</f>
        <v>47.9</v>
      </c>
    </row>
    <row r="16" spans="1:7" ht="14.5" x14ac:dyDescent="0.35">
      <c r="A16" s="16" t="s">
        <v>20</v>
      </c>
      <c r="B16" s="16">
        <f>VLOOKUP(A16,Dataset!A:G,7,0)</f>
        <v>28.5</v>
      </c>
      <c r="C16" s="16">
        <f>VLOOKUP(A16,Dataset!A:N,14,0)</f>
        <v>85.4</v>
      </c>
      <c r="D16" s="16">
        <f>VLOOKUP(A16,Dataset!A:R,18,0)</f>
        <v>52.3</v>
      </c>
      <c r="E16" s="16">
        <f>VLOOKUP(A16,Dataset!A:T,20,0)</f>
        <v>106.1</v>
      </c>
      <c r="F16" s="16">
        <f>VLOOKUP(A16,Dataset!A:V,22,0)</f>
        <v>52.3</v>
      </c>
    </row>
    <row r="17" spans="1:6" ht="14.5" x14ac:dyDescent="0.35">
      <c r="A17" s="16" t="s">
        <v>22</v>
      </c>
      <c r="B17" s="16">
        <f>VLOOKUP(A17,Dataset!A:G,7,0)</f>
        <v>30.7</v>
      </c>
      <c r="C17" s="16">
        <f>VLOOKUP(A17,Dataset!A:N,14,0)</f>
        <v>92.1</v>
      </c>
      <c r="D17" s="16">
        <f>VLOOKUP(A17,Dataset!A:R,18,0)</f>
        <v>57</v>
      </c>
      <c r="E17" s="16">
        <f>VLOOKUP(A17,Dataset!A:T,20,0)</f>
        <v>115.1</v>
      </c>
      <c r="F17" s="16">
        <f>VLOOKUP(A17,Dataset!A:V,22,0)</f>
        <v>57</v>
      </c>
    </row>
    <row r="18" spans="1:6" ht="14.5" x14ac:dyDescent="0.35">
      <c r="A18" s="16" t="s">
        <v>23</v>
      </c>
      <c r="B18" s="16">
        <f>VLOOKUP(A18,Dataset!A:G,7,0)</f>
        <v>33.799999999999997</v>
      </c>
      <c r="C18" s="16">
        <f>VLOOKUP(A18,Dataset!A:N,14,0)</f>
        <v>101.3</v>
      </c>
      <c r="D18" s="16">
        <f>VLOOKUP(A18,Dataset!A:R,18,0)</f>
        <v>61.4</v>
      </c>
      <c r="E18" s="16">
        <f>VLOOKUP(A18,Dataset!A:T,20,0)</f>
        <v>124.4</v>
      </c>
      <c r="F18" s="16">
        <f>VLOOKUP(A18,Dataset!A:V,22,0)</f>
        <v>61.4</v>
      </c>
    </row>
    <row r="19" spans="1:6" ht="14.5" x14ac:dyDescent="0.35">
      <c r="A19" s="16" t="s">
        <v>24</v>
      </c>
      <c r="B19" s="16">
        <f>VLOOKUP(A19,Dataset!A:G,7,0)</f>
        <v>34.700000000000003</v>
      </c>
      <c r="C19" s="16">
        <f>VLOOKUP(A19,Dataset!A:N,14,0)</f>
        <v>106.1</v>
      </c>
      <c r="D19" s="16">
        <f>VLOOKUP(A19,Dataset!A:R,18,0)</f>
        <v>63.6</v>
      </c>
      <c r="E19" s="16">
        <f>VLOOKUP(A19,Dataset!A:T,20,0)</f>
        <v>128.6</v>
      </c>
      <c r="F19" s="16">
        <f>VLOOKUP(A19,Dataset!A:V,22,0)</f>
        <v>63.6</v>
      </c>
    </row>
    <row r="20" spans="1:6" ht="14.5" x14ac:dyDescent="0.35">
      <c r="A20" s="16" t="s">
        <v>28</v>
      </c>
      <c r="B20" s="16">
        <f>VLOOKUP(A20,Dataset!A:G,7,0)</f>
        <v>0</v>
      </c>
      <c r="C20" s="16">
        <f>VLOOKUP(A20,Dataset!A:N,14,0)</f>
        <v>0</v>
      </c>
      <c r="D20" s="16">
        <f>VLOOKUP(A20,Dataset!A:R,18,0)</f>
        <v>0</v>
      </c>
      <c r="E20" s="16">
        <f>VLOOKUP(A20,Dataset!A:T,20,0)</f>
        <v>0</v>
      </c>
      <c r="F20" s="16">
        <f>VLOOKUP(A20,Dataset!A:V,22,0)</f>
        <v>0</v>
      </c>
    </row>
    <row r="21" spans="1:6" ht="14.5" x14ac:dyDescent="0.35">
      <c r="A21" s="16" t="s">
        <v>57</v>
      </c>
      <c r="B21" s="16">
        <f>VLOOKUP(A21,Dataset!A:G,7,0)</f>
        <v>41.3</v>
      </c>
      <c r="C21" s="16">
        <f>VLOOKUP(A21,Dataset!A:N,14,0)</f>
        <v>124.4</v>
      </c>
      <c r="D21" s="16">
        <f>VLOOKUP(A21,Dataset!A:R,18,0)</f>
        <v>75</v>
      </c>
      <c r="E21" s="16">
        <f>VLOOKUP(A21,Dataset!A:T,20,0)</f>
        <v>151.5</v>
      </c>
      <c r="F21" s="16">
        <f>VLOOKUP(A21,Dataset!A:V,22,0)</f>
        <v>75</v>
      </c>
    </row>
    <row r="22" spans="1:6" ht="14.5" x14ac:dyDescent="0.35">
      <c r="A22" s="16" t="s">
        <v>58</v>
      </c>
      <c r="B22" s="16">
        <f>VLOOKUP(A22,Dataset!A:G,7,0)</f>
        <v>-1</v>
      </c>
      <c r="C22" s="16">
        <f>VLOOKUP(A22,Dataset!A:N,14,0)</f>
        <v>-1</v>
      </c>
      <c r="D22" s="16">
        <f>VLOOKUP(A22,Dataset!A:R,18,0)</f>
        <v>-1</v>
      </c>
      <c r="E22" s="16">
        <f>VLOOKUP(A22,Dataset!A:T,20,0)</f>
        <v>-1</v>
      </c>
      <c r="F22" s="16">
        <f>VLOOKUP(A22,Dataset!A:V,22,0)</f>
        <v>-1</v>
      </c>
    </row>
    <row r="23" spans="1:6" ht="14.5" x14ac:dyDescent="0.35">
      <c r="A23" s="16" t="s">
        <v>31</v>
      </c>
      <c r="B23" s="16">
        <f>VLOOKUP(A23,Dataset!A:G,7,0)</f>
        <v>45</v>
      </c>
      <c r="C23" s="16">
        <f>VLOOKUP(A23,Dataset!A:N,14,0)</f>
        <v>133.4</v>
      </c>
      <c r="D23" s="16">
        <f>VLOOKUP(A23,Dataset!A:R,18,0)</f>
        <v>79.400000000000006</v>
      </c>
      <c r="E23" s="16">
        <f>VLOOKUP(A23,Dataset!A:T,20,0)</f>
        <v>160.9</v>
      </c>
      <c r="F23" s="16">
        <f>VLOOKUP(A23,Dataset!A:V,22,0)</f>
        <v>79.400000000000006</v>
      </c>
    </row>
    <row r="24" spans="1:6" ht="14.5" x14ac:dyDescent="0.35">
      <c r="A24" s="16" t="s">
        <v>32</v>
      </c>
      <c r="B24" s="16">
        <f>VLOOKUP(A24,Dataset!A:G,7,0)</f>
        <v>-1</v>
      </c>
      <c r="C24" s="16">
        <f>VLOOKUP(A24,Dataset!A:N,14,0)</f>
        <v>-1</v>
      </c>
      <c r="D24" s="16">
        <f>VLOOKUP(A24,Dataset!A:R,18,0)</f>
        <v>-1</v>
      </c>
      <c r="E24" s="16">
        <f>VLOOKUP(A24,Dataset!A:T,20,0)</f>
        <v>-1</v>
      </c>
      <c r="F24" s="16">
        <f>VLOOKUP(A24,Dataset!A:V,22,0)</f>
        <v>-1</v>
      </c>
    </row>
    <row r="25" spans="1:6" ht="14.5" x14ac:dyDescent="0.35">
      <c r="A25" s="16" t="s">
        <v>34</v>
      </c>
      <c r="B25" s="16">
        <f>VLOOKUP(A25,Dataset!A:G,7,0)</f>
        <v>43.3</v>
      </c>
      <c r="C25" s="16">
        <f>VLOOKUP(A25,Dataset!A:N,14,0)</f>
        <v>128.6</v>
      </c>
      <c r="D25" s="16">
        <f>VLOOKUP(A25,Dataset!A:R,18,0)</f>
        <v>79.400000000000006</v>
      </c>
      <c r="E25" s="16">
        <f>VLOOKUP(A25,Dataset!A:T,20,0)</f>
        <v>160.9</v>
      </c>
      <c r="F25" s="16">
        <f>VLOOKUP(A25,Dataset!A:V,22,0)</f>
        <v>79.400000000000006</v>
      </c>
    </row>
    <row r="26" spans="1:6" ht="14.5" x14ac:dyDescent="0.35">
      <c r="A26" s="16" t="s">
        <v>37</v>
      </c>
      <c r="B26" s="16">
        <f>VLOOKUP(A26,Dataset!A:G,7,0)</f>
        <v>49.1</v>
      </c>
      <c r="C26" s="16">
        <f>VLOOKUP(A26,Dataset!A:N,14,0)</f>
        <v>146.80000000000001</v>
      </c>
      <c r="D26" s="16">
        <f>VLOOKUP(A26,Dataset!A:R,18,0)</f>
        <v>90.9</v>
      </c>
      <c r="E26" s="16">
        <f>VLOOKUP(A26,Dataset!A:T,20,0)</f>
        <v>183.5</v>
      </c>
      <c r="F26" s="16">
        <f>VLOOKUP(A26,Dataset!A:V,22,0)</f>
        <v>90.9</v>
      </c>
    </row>
    <row r="27" spans="1:6" ht="14.5" x14ac:dyDescent="0.35">
      <c r="A27" s="16" t="s">
        <v>39</v>
      </c>
      <c r="B27" s="16">
        <f>VLOOKUP(A27,Dataset!A:G,7,0)</f>
        <v>51.8</v>
      </c>
      <c r="C27" s="16">
        <f>VLOOKUP(A27,Dataset!A:N,14,0)</f>
        <v>156.4</v>
      </c>
      <c r="D27" s="16">
        <f>VLOOKUP(A27,Dataset!A:R,18,0)</f>
        <v>93.1</v>
      </c>
      <c r="E27" s="16">
        <f>VLOOKUP(A27,Dataset!A:T,20,0)</f>
        <v>188.1</v>
      </c>
      <c r="F27" s="16">
        <f>VLOOKUP(A27,Dataset!A:V,22,0)</f>
        <v>93.1</v>
      </c>
    </row>
    <row r="28" spans="1:6" ht="14.5" x14ac:dyDescent="0.35">
      <c r="A28" s="18" t="s">
        <v>82</v>
      </c>
      <c r="B28" s="16">
        <f>MIN(B6:B27)</f>
        <v>-1</v>
      </c>
      <c r="C28" s="16">
        <f t="shared" ref="C28:F28" si="0">MIN(C6:C27)</f>
        <v>-1</v>
      </c>
      <c r="D28" s="16">
        <f t="shared" si="0"/>
        <v>-1</v>
      </c>
      <c r="E28" s="16">
        <f t="shared" si="0"/>
        <v>-1</v>
      </c>
      <c r="F28" s="16">
        <f t="shared" si="0"/>
        <v>-1</v>
      </c>
    </row>
    <row r="29" spans="1:6" ht="14.5" x14ac:dyDescent="0.35">
      <c r="A29" s="18" t="s">
        <v>83</v>
      </c>
      <c r="B29" s="16">
        <f>MAX(B6:B27)</f>
        <v>51.8</v>
      </c>
      <c r="C29" s="16">
        <f t="shared" ref="C29:F29" si="1">MAX(C6:C27)</f>
        <v>156.4</v>
      </c>
      <c r="D29" s="16">
        <f t="shared" si="1"/>
        <v>93.1</v>
      </c>
      <c r="E29" s="16">
        <f t="shared" si="1"/>
        <v>188.1</v>
      </c>
      <c r="F29" s="16">
        <f t="shared" si="1"/>
        <v>93.1</v>
      </c>
    </row>
    <row r="30" spans="1:6" ht="14.5" x14ac:dyDescent="0.35">
      <c r="A30" s="18" t="s">
        <v>84</v>
      </c>
      <c r="B30" s="16">
        <f>AVERAGE(B6:B27)</f>
        <v>20.827272727272728</v>
      </c>
      <c r="C30" s="16">
        <f t="shared" ref="C30:E30" si="2">AVERAGE(C6:C27)</f>
        <v>62.377272727272725</v>
      </c>
      <c r="D30" s="16">
        <f t="shared" si="2"/>
        <v>37.800000000000004</v>
      </c>
      <c r="E30" s="16">
        <f t="shared" si="2"/>
        <v>76.418181818181822</v>
      </c>
      <c r="F30" s="16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N54"/>
  <sheetViews>
    <sheetView topLeftCell="A16" zoomScale="90" zoomScaleNormal="90" workbookViewId="0">
      <selection activeCell="B6" sqref="B6:N6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4" s="37" customFormat="1" ht="21" x14ac:dyDescent="0.5">
      <c r="A1" s="38" t="s">
        <v>56</v>
      </c>
      <c r="B1" s="37" t="s">
        <v>175</v>
      </c>
    </row>
    <row r="2" spans="1:14" customFormat="1" ht="13" x14ac:dyDescent="0.3"/>
    <row r="3" spans="1:14" s="2" customFormat="1" x14ac:dyDescent="0.35">
      <c r="B3" s="1"/>
    </row>
    <row r="4" spans="1:14" s="2" customFormat="1" x14ac:dyDescent="0.35">
      <c r="B4" s="1" t="s">
        <v>152</v>
      </c>
    </row>
    <row r="5" spans="1:14" ht="18.5" x14ac:dyDescent="0.45">
      <c r="A5" s="39" t="s">
        <v>53</v>
      </c>
      <c r="B5" s="45" t="s">
        <v>178</v>
      </c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</row>
    <row r="6" spans="1:14" ht="18.5" x14ac:dyDescent="0.45">
      <c r="A6" s="39" t="s">
        <v>154</v>
      </c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</row>
    <row r="7" spans="1:14" ht="18.5" x14ac:dyDescent="0.45">
      <c r="A7" s="39"/>
      <c r="B7" s="36"/>
    </row>
    <row r="9" spans="1:14" ht="23.5" x14ac:dyDescent="0.55000000000000004">
      <c r="A9" s="17" t="s">
        <v>166</v>
      </c>
      <c r="I9" s="2"/>
      <c r="J9" s="2"/>
    </row>
    <row r="10" spans="1:14" x14ac:dyDescent="0.35">
      <c r="A10" s="29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4" x14ac:dyDescent="0.35">
      <c r="A11" s="8" t="s">
        <v>122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4" ht="23.5" x14ac:dyDescent="0.55000000000000004">
      <c r="A14" s="17" t="s">
        <v>163</v>
      </c>
    </row>
    <row r="15" spans="1:14" x14ac:dyDescent="0.3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4" x14ac:dyDescent="0.35">
      <c r="A16" s="7" t="s">
        <v>122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5">
      <c r="A17" s="7" t="s">
        <v>123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5">
      <c r="A18" s="7" t="s">
        <v>124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5">
      <c r="A19" s="7" t="s">
        <v>125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5">
      <c r="A20" s="7" t="s">
        <v>126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5">
      <c r="A21" s="7" t="s">
        <v>127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5">
      <c r="A22" s="7" t="s">
        <v>128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5">
      <c r="A23" s="7" t="s">
        <v>129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5">
      <c r="A24" s="7" t="s">
        <v>130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5">
      <c r="A25" s="7" t="s">
        <v>131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5">
      <c r="A26" s="7" t="s">
        <v>132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5">
      <c r="A27" s="7" t="s">
        <v>133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5">
      <c r="A28" s="7" t="s">
        <v>134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5">
      <c r="A29" s="7" t="s">
        <v>135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5">
      <c r="A30" s="7" t="s">
        <v>136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5">
      <c r="A31" s="7" t="s">
        <v>137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5">
      <c r="A32" s="7" t="s">
        <v>138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5">
      <c r="A33" s="7" t="s">
        <v>139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5">
      <c r="A34" s="7" t="s">
        <v>140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5">
      <c r="A35" s="7" t="s">
        <v>141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5">
      <c r="A36" s="7" t="s">
        <v>142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5">
      <c r="A37" s="7" t="s">
        <v>143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5">
      <c r="A38" s="7" t="s">
        <v>144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5">
      <c r="A39" s="7" t="s">
        <v>145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5">
      <c r="A40" s="7" t="s">
        <v>146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5">
      <c r="A41" s="7" t="s">
        <v>147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5">
      <c r="A42" s="7" t="s">
        <v>148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5">
      <c r="A43" s="7" t="s">
        <v>149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5">
      <c r="A44" s="7" t="s">
        <v>150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5">
      <c r="A45" s="7" t="s">
        <v>151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5">
      <c r="A46" s="7" t="s">
        <v>113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5">
      <c r="A47" s="7" t="s">
        <v>114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5">
      <c r="A48" s="7" t="s">
        <v>115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5">
      <c r="A49" s="7" t="s">
        <v>116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5">
      <c r="A50" s="7" t="s">
        <v>117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5">
      <c r="A51" s="7" t="s">
        <v>118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5">
      <c r="A52" s="7" t="s">
        <v>119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5">
      <c r="A53" s="7" t="s">
        <v>120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5">
      <c r="A54" s="8" t="s">
        <v>121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mergeCells count="2">
    <mergeCell ref="B5:N5"/>
    <mergeCell ref="B6:N6"/>
  </mergeCells>
  <phoneticPr fontId="1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M25"/>
  <sheetViews>
    <sheetView topLeftCell="A10" zoomScaleNormal="100" workbookViewId="0">
      <selection activeCell="B9" sqref="B9:E9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13" ht="21" x14ac:dyDescent="0.5">
      <c r="A1" s="38" t="s">
        <v>85</v>
      </c>
      <c r="B1" s="37" t="s">
        <v>168</v>
      </c>
    </row>
    <row r="2" spans="1:13" ht="18.5" x14ac:dyDescent="0.45">
      <c r="B2" s="36" t="s">
        <v>167</v>
      </c>
    </row>
    <row r="5" spans="1:13" ht="14.5" x14ac:dyDescent="0.35">
      <c r="B5" s="1" t="s">
        <v>152</v>
      </c>
    </row>
    <row r="6" spans="1:13" ht="14.5" x14ac:dyDescent="0.35">
      <c r="B6" s="1"/>
    </row>
    <row r="7" spans="1:13" ht="14.5" x14ac:dyDescent="0.35">
      <c r="A7" s="3" t="s">
        <v>53</v>
      </c>
      <c r="B7" s="47" t="s">
        <v>184</v>
      </c>
      <c r="C7" s="47"/>
      <c r="D7" s="47"/>
      <c r="E7" s="47"/>
    </row>
    <row r="8" spans="1:13" ht="14.5" x14ac:dyDescent="0.35">
      <c r="A8" s="3" t="s">
        <v>154</v>
      </c>
      <c r="B8" s="46" t="s">
        <v>180</v>
      </c>
      <c r="C8" s="46"/>
      <c r="D8" s="46"/>
      <c r="E8" s="46"/>
      <c r="F8" s="1"/>
      <c r="G8" s="1"/>
      <c r="H8" s="1"/>
      <c r="I8" s="1"/>
      <c r="J8" s="1"/>
      <c r="K8" s="1"/>
      <c r="L8" s="1"/>
      <c r="M8" s="1"/>
    </row>
    <row r="9" spans="1:13" ht="13" customHeight="1" x14ac:dyDescent="0.35">
      <c r="B9" s="46" t="s">
        <v>179</v>
      </c>
      <c r="C9" s="46"/>
      <c r="D9" s="46"/>
      <c r="E9" s="46"/>
      <c r="F9" s="1"/>
      <c r="G9" s="1"/>
      <c r="H9" s="1"/>
      <c r="I9" s="1"/>
      <c r="J9" s="1"/>
      <c r="K9" s="1"/>
      <c r="L9" s="1"/>
      <c r="M9" s="1"/>
    </row>
    <row r="10" spans="1:13" ht="13" customHeight="1" x14ac:dyDescent="0.35">
      <c r="B10" s="46" t="s">
        <v>181</v>
      </c>
      <c r="C10" s="46"/>
      <c r="D10" s="46"/>
      <c r="E10" s="46"/>
      <c r="F10" s="1"/>
      <c r="G10" s="1"/>
      <c r="H10" s="1"/>
      <c r="I10" s="1"/>
      <c r="J10" s="1"/>
      <c r="K10" s="1"/>
      <c r="L10" s="1"/>
      <c r="M10" s="1"/>
    </row>
    <row r="11" spans="1:13" ht="13" customHeight="1" x14ac:dyDescent="0.35">
      <c r="B11" s="46" t="s">
        <v>182</v>
      </c>
      <c r="C11" s="46"/>
      <c r="D11" s="46"/>
      <c r="E11" s="46"/>
      <c r="F11" s="1"/>
      <c r="G11" s="1"/>
      <c r="H11" s="1"/>
      <c r="I11" s="1"/>
      <c r="J11" s="1"/>
      <c r="K11" s="1"/>
      <c r="L11" s="1"/>
      <c r="M11" s="1"/>
    </row>
    <row r="12" spans="1:13" ht="13" customHeight="1" x14ac:dyDescent="0.35">
      <c r="B12" s="46" t="s">
        <v>183</v>
      </c>
      <c r="C12" s="46"/>
      <c r="D12" s="46"/>
      <c r="E12" s="46"/>
      <c r="F12" s="1"/>
      <c r="G12" s="1"/>
      <c r="H12" s="1"/>
      <c r="I12" s="1"/>
      <c r="J12" s="1"/>
      <c r="K12" s="1"/>
      <c r="L12" s="1"/>
      <c r="M12" s="1"/>
    </row>
    <row r="13" spans="1:13" ht="23.5" x14ac:dyDescent="0.55000000000000004">
      <c r="A13" s="17" t="s">
        <v>163</v>
      </c>
    </row>
    <row r="14" spans="1:13" ht="14.5" x14ac:dyDescent="0.35">
      <c r="A14" s="28" t="s">
        <v>86</v>
      </c>
      <c r="B14" s="16" t="s">
        <v>87</v>
      </c>
      <c r="C14" s="16" t="s">
        <v>88</v>
      </c>
    </row>
    <row r="15" spans="1:13" ht="14.5" x14ac:dyDescent="0.35">
      <c r="A15" s="28">
        <v>44927</v>
      </c>
      <c r="B15" s="16" t="s">
        <v>59</v>
      </c>
      <c r="C15" s="16">
        <v>200</v>
      </c>
    </row>
    <row r="16" spans="1:13" ht="14.5" x14ac:dyDescent="0.35">
      <c r="A16" s="28">
        <v>44928</v>
      </c>
      <c r="B16" s="16" t="s">
        <v>60</v>
      </c>
      <c r="C16" s="16">
        <v>20</v>
      </c>
    </row>
    <row r="17" spans="1:3" ht="14.5" x14ac:dyDescent="0.35">
      <c r="A17" s="28">
        <v>44929</v>
      </c>
      <c r="B17" s="16" t="s">
        <v>61</v>
      </c>
      <c r="C17" s="16">
        <v>50</v>
      </c>
    </row>
    <row r="18" spans="1:3" ht="14.5" x14ac:dyDescent="0.35">
      <c r="A18" s="28">
        <v>44930</v>
      </c>
      <c r="B18" s="16" t="s">
        <v>62</v>
      </c>
      <c r="C18" s="16">
        <v>20</v>
      </c>
    </row>
    <row r="19" spans="1:3" ht="14.5" x14ac:dyDescent="0.35">
      <c r="A19" s="28">
        <v>44931</v>
      </c>
      <c r="B19" s="16" t="s">
        <v>63</v>
      </c>
      <c r="C19" s="16">
        <v>10</v>
      </c>
    </row>
    <row r="20" spans="1:3" ht="14.5" x14ac:dyDescent="0.35">
      <c r="A20" s="28">
        <v>44932</v>
      </c>
      <c r="B20" s="16" t="s">
        <v>155</v>
      </c>
      <c r="C20" s="16">
        <v>150</v>
      </c>
    </row>
    <row r="21" spans="1:3" ht="14.5" x14ac:dyDescent="0.35">
      <c r="A21" s="28">
        <v>44933</v>
      </c>
      <c r="B21" s="16" t="s">
        <v>156</v>
      </c>
      <c r="C21" s="16">
        <v>80</v>
      </c>
    </row>
    <row r="22" spans="1:3" ht="14.5" x14ac:dyDescent="0.35">
      <c r="A22" s="28">
        <v>44934</v>
      </c>
      <c r="B22" s="16" t="s">
        <v>157</v>
      </c>
      <c r="C22" s="16">
        <v>20</v>
      </c>
    </row>
    <row r="23" spans="1:3" ht="14.5" x14ac:dyDescent="0.35">
      <c r="A23" s="28">
        <v>44935</v>
      </c>
      <c r="B23" s="16" t="s">
        <v>158</v>
      </c>
      <c r="C23" s="16">
        <v>30</v>
      </c>
    </row>
    <row r="24" spans="1:3" ht="14.5" x14ac:dyDescent="0.35">
      <c r="A24" s="28">
        <v>44936</v>
      </c>
      <c r="B24" s="16" t="s">
        <v>159</v>
      </c>
      <c r="C24" s="16">
        <v>20</v>
      </c>
    </row>
    <row r="25" spans="1:3" ht="14.5" x14ac:dyDescent="0.35">
      <c r="B25" s="16" t="s">
        <v>160</v>
      </c>
      <c r="C25" s="22">
        <f>SUM(C15:C24)</f>
        <v>600</v>
      </c>
    </row>
  </sheetData>
  <mergeCells count="6">
    <mergeCell ref="B11:E11"/>
    <mergeCell ref="B12:E12"/>
    <mergeCell ref="B7:E7"/>
    <mergeCell ref="B8:E8"/>
    <mergeCell ref="B9:E9"/>
    <mergeCell ref="B10:E10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7" zoomScale="73" zoomScaleNormal="70" workbookViewId="0">
      <selection activeCell="C23" sqref="C23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38" t="s">
        <v>98</v>
      </c>
      <c r="B1" s="37" t="s">
        <v>176</v>
      </c>
    </row>
    <row r="3" spans="1:14" ht="14.5" x14ac:dyDescent="0.35">
      <c r="B3" s="1" t="s">
        <v>152</v>
      </c>
    </row>
    <row r="4" spans="1:14" ht="18.5" x14ac:dyDescent="0.45">
      <c r="A4" s="39" t="s">
        <v>53</v>
      </c>
      <c r="B4" s="1"/>
    </row>
    <row r="5" spans="1:14" ht="18.5" x14ac:dyDescent="0.45">
      <c r="A5" s="39" t="s">
        <v>154</v>
      </c>
      <c r="B5" s="1"/>
    </row>
    <row r="6" spans="1:14" ht="14.5" x14ac:dyDescent="0.35">
      <c r="A6" s="3"/>
      <c r="B6" s="1"/>
    </row>
    <row r="8" spans="1:14" ht="23.5" x14ac:dyDescent="0.55000000000000004">
      <c r="A8" s="17" t="s">
        <v>163</v>
      </c>
      <c r="M8" s="17" t="s">
        <v>164</v>
      </c>
    </row>
    <row r="9" spans="1:14" ht="14.5" x14ac:dyDescent="0.35">
      <c r="A9" s="23"/>
      <c r="B9" s="23" t="s">
        <v>89</v>
      </c>
      <c r="C9" s="23" t="s">
        <v>90</v>
      </c>
      <c r="D9" s="23" t="s">
        <v>91</v>
      </c>
      <c r="E9" s="23" t="s">
        <v>92</v>
      </c>
      <c r="F9" s="23" t="s">
        <v>93</v>
      </c>
      <c r="G9" s="23" t="s">
        <v>94</v>
      </c>
      <c r="H9" s="23" t="s">
        <v>95</v>
      </c>
      <c r="I9" s="23" t="s">
        <v>96</v>
      </c>
      <c r="J9" s="23" t="s">
        <v>97</v>
      </c>
      <c r="M9" s="18" t="s">
        <v>43</v>
      </c>
      <c r="N9" s="18" t="s">
        <v>99</v>
      </c>
    </row>
    <row r="10" spans="1:14" ht="14.5" x14ac:dyDescent="0.35">
      <c r="A10" s="23" t="s">
        <v>89</v>
      </c>
      <c r="B10" s="22">
        <v>-1</v>
      </c>
      <c r="C10" s="22">
        <v>95</v>
      </c>
      <c r="D10" s="22">
        <v>-1</v>
      </c>
      <c r="E10" s="22">
        <v>185</v>
      </c>
      <c r="F10" s="22">
        <v>255</v>
      </c>
      <c r="G10" s="22">
        <v>305</v>
      </c>
      <c r="H10" s="22">
        <v>415</v>
      </c>
      <c r="I10" s="22">
        <v>480</v>
      </c>
      <c r="J10" s="22">
        <v>525</v>
      </c>
      <c r="M10" s="11">
        <v>10100</v>
      </c>
      <c r="N10" s="11" t="s">
        <v>89</v>
      </c>
    </row>
    <row r="11" spans="1:14" ht="14.5" x14ac:dyDescent="0.35">
      <c r="A11" s="23" t="s">
        <v>90</v>
      </c>
      <c r="B11" s="22">
        <v>95</v>
      </c>
      <c r="C11" s="22">
        <v>-1</v>
      </c>
      <c r="D11" s="22">
        <v>-1</v>
      </c>
      <c r="E11" s="22">
        <v>90</v>
      </c>
      <c r="F11" s="22">
        <v>160</v>
      </c>
      <c r="G11" s="22">
        <v>210</v>
      </c>
      <c r="H11" s="22">
        <v>325</v>
      </c>
      <c r="I11" s="22">
        <v>390</v>
      </c>
      <c r="J11" s="22">
        <v>430</v>
      </c>
      <c r="M11" s="11">
        <v>10102</v>
      </c>
      <c r="N11" s="11" t="s">
        <v>90</v>
      </c>
    </row>
    <row r="12" spans="1:14" ht="14.5" x14ac:dyDescent="0.35">
      <c r="A12" s="23" t="s">
        <v>91</v>
      </c>
      <c r="B12" s="22">
        <v>-1</v>
      </c>
      <c r="C12" s="22">
        <v>-1</v>
      </c>
      <c r="D12" s="22">
        <v>-1</v>
      </c>
      <c r="E12" s="22">
        <v>60</v>
      </c>
      <c r="F12" s="22">
        <v>130</v>
      </c>
      <c r="G12" s="22">
        <v>180</v>
      </c>
      <c r="H12" s="22">
        <v>295</v>
      </c>
      <c r="I12" s="22">
        <v>355</v>
      </c>
      <c r="J12" s="22">
        <v>400</v>
      </c>
      <c r="M12" s="11">
        <v>10104</v>
      </c>
      <c r="N12" s="11" t="s">
        <v>91</v>
      </c>
    </row>
    <row r="13" spans="1:14" ht="14.5" x14ac:dyDescent="0.35">
      <c r="A13" s="23" t="s">
        <v>92</v>
      </c>
      <c r="B13" s="22">
        <v>185</v>
      </c>
      <c r="C13" s="22">
        <v>90</v>
      </c>
      <c r="D13" s="22">
        <v>60</v>
      </c>
      <c r="E13" s="22">
        <v>-1</v>
      </c>
      <c r="F13" s="22">
        <v>70</v>
      </c>
      <c r="G13" s="22">
        <v>120</v>
      </c>
      <c r="H13" s="22">
        <v>235</v>
      </c>
      <c r="I13" s="22">
        <v>300</v>
      </c>
      <c r="J13" s="22">
        <v>340</v>
      </c>
      <c r="M13" s="11">
        <v>10106</v>
      </c>
      <c r="N13" s="11" t="s">
        <v>92</v>
      </c>
    </row>
    <row r="14" spans="1:14" ht="14.5" x14ac:dyDescent="0.35">
      <c r="A14" s="23" t="s">
        <v>93</v>
      </c>
      <c r="B14" s="22">
        <v>255</v>
      </c>
      <c r="C14" s="22">
        <v>160</v>
      </c>
      <c r="D14" s="22">
        <v>130</v>
      </c>
      <c r="E14" s="22">
        <v>70</v>
      </c>
      <c r="F14" s="22">
        <v>-1</v>
      </c>
      <c r="G14" s="22">
        <v>50</v>
      </c>
      <c r="H14" s="22">
        <v>165</v>
      </c>
      <c r="I14" s="22">
        <v>230</v>
      </c>
      <c r="J14" s="22">
        <v>270</v>
      </c>
      <c r="M14" s="11">
        <v>10108</v>
      </c>
      <c r="N14" s="11" t="s">
        <v>93</v>
      </c>
    </row>
    <row r="15" spans="1:14" ht="14.5" x14ac:dyDescent="0.35">
      <c r="A15" s="23" t="s">
        <v>94</v>
      </c>
      <c r="B15" s="22">
        <v>305</v>
      </c>
      <c r="C15" s="22">
        <v>210</v>
      </c>
      <c r="D15" s="22">
        <v>180</v>
      </c>
      <c r="E15" s="22">
        <v>120</v>
      </c>
      <c r="F15" s="22">
        <v>50</v>
      </c>
      <c r="G15" s="22">
        <v>-1</v>
      </c>
      <c r="H15" s="22">
        <v>115</v>
      </c>
      <c r="I15" s="22">
        <v>180</v>
      </c>
      <c r="J15" s="22">
        <v>220</v>
      </c>
      <c r="M15" s="11">
        <v>10110</v>
      </c>
      <c r="N15" s="11" t="s">
        <v>94</v>
      </c>
    </row>
    <row r="16" spans="1:14" ht="14.5" x14ac:dyDescent="0.35">
      <c r="A16" s="23" t="s">
        <v>95</v>
      </c>
      <c r="B16" s="22">
        <v>415</v>
      </c>
      <c r="C16" s="22">
        <v>325</v>
      </c>
      <c r="D16" s="22">
        <v>295</v>
      </c>
      <c r="E16" s="22">
        <v>235</v>
      </c>
      <c r="F16" s="22">
        <v>165</v>
      </c>
      <c r="G16" s="22">
        <v>115</v>
      </c>
      <c r="H16" s="22">
        <v>-1</v>
      </c>
      <c r="I16" s="22">
        <v>65</v>
      </c>
      <c r="J16" s="22">
        <v>105</v>
      </c>
      <c r="M16" s="11">
        <v>10112</v>
      </c>
      <c r="N16" s="11" t="s">
        <v>95</v>
      </c>
    </row>
    <row r="17" spans="1:14" ht="14.5" x14ac:dyDescent="0.35">
      <c r="A17" s="23" t="s">
        <v>96</v>
      </c>
      <c r="B17" s="22">
        <v>480</v>
      </c>
      <c r="C17" s="22">
        <v>390</v>
      </c>
      <c r="D17" s="22">
        <v>355</v>
      </c>
      <c r="E17" s="22">
        <v>300</v>
      </c>
      <c r="F17" s="22">
        <v>230</v>
      </c>
      <c r="G17" s="22">
        <v>180</v>
      </c>
      <c r="H17" s="22">
        <v>65</v>
      </c>
      <c r="I17" s="22">
        <v>-1</v>
      </c>
      <c r="J17" s="22">
        <v>40</v>
      </c>
      <c r="M17" s="11">
        <v>10114</v>
      </c>
      <c r="N17" s="11" t="s">
        <v>96</v>
      </c>
    </row>
    <row r="18" spans="1:14" ht="14.5" x14ac:dyDescent="0.35">
      <c r="A18" s="23" t="s">
        <v>97</v>
      </c>
      <c r="B18" s="22">
        <v>525</v>
      </c>
      <c r="C18" s="22">
        <v>430</v>
      </c>
      <c r="D18" s="22">
        <v>400</v>
      </c>
      <c r="E18" s="22">
        <v>340</v>
      </c>
      <c r="F18" s="22">
        <v>270</v>
      </c>
      <c r="G18" s="22">
        <v>220</v>
      </c>
      <c r="H18" s="22">
        <v>105</v>
      </c>
      <c r="I18" s="22">
        <v>40</v>
      </c>
      <c r="J18" s="22">
        <v>-1</v>
      </c>
      <c r="M18" s="12">
        <v>10116</v>
      </c>
      <c r="N18" s="12" t="s">
        <v>97</v>
      </c>
    </row>
    <row r="21" spans="1:14" ht="23.5" x14ac:dyDescent="0.55000000000000004">
      <c r="A21" s="17" t="s">
        <v>169</v>
      </c>
    </row>
    <row r="22" spans="1:14" ht="14.5" x14ac:dyDescent="0.35">
      <c r="A22" s="13" t="s">
        <v>100</v>
      </c>
      <c r="B22" s="16" t="s">
        <v>101</v>
      </c>
      <c r="C22" s="15" t="s">
        <v>102</v>
      </c>
    </row>
    <row r="23" spans="1:14" ht="14.5" x14ac:dyDescent="0.35">
      <c r="A23" s="7">
        <v>10100</v>
      </c>
      <c r="B23" s="11">
        <v>10102</v>
      </c>
      <c r="C23" s="40" t="s">
        <v>185</v>
      </c>
    </row>
    <row r="24" spans="1:14" ht="14.5" x14ac:dyDescent="0.35">
      <c r="A24" s="7">
        <v>10100</v>
      </c>
      <c r="B24" s="11">
        <v>10104</v>
      </c>
      <c r="C24" s="40"/>
    </row>
    <row r="25" spans="1:14" ht="14.5" x14ac:dyDescent="0.35">
      <c r="A25" s="7">
        <v>10108</v>
      </c>
      <c r="B25" s="11">
        <v>10102</v>
      </c>
      <c r="C25" s="40"/>
    </row>
    <row r="26" spans="1:14" ht="14.5" x14ac:dyDescent="0.35">
      <c r="A26" s="7">
        <v>10100</v>
      </c>
      <c r="B26" s="11">
        <v>10106</v>
      </c>
      <c r="C26" s="40"/>
    </row>
    <row r="27" spans="1:14" ht="14.5" x14ac:dyDescent="0.35">
      <c r="A27" s="7">
        <v>10108</v>
      </c>
      <c r="B27" s="11">
        <v>10110</v>
      </c>
      <c r="C27" s="40"/>
    </row>
    <row r="28" spans="1:14" ht="14.5" x14ac:dyDescent="0.35">
      <c r="A28" s="7">
        <v>10102</v>
      </c>
      <c r="B28" s="11">
        <v>10104</v>
      </c>
      <c r="C28" s="40"/>
    </row>
    <row r="29" spans="1:14" ht="14.5" x14ac:dyDescent="0.35">
      <c r="A29" s="7">
        <v>10106</v>
      </c>
      <c r="B29" s="11">
        <v>10108</v>
      </c>
      <c r="C29" s="40"/>
    </row>
    <row r="30" spans="1:14" ht="14.5" x14ac:dyDescent="0.35">
      <c r="A30" s="7">
        <v>10102</v>
      </c>
      <c r="B30" s="11">
        <v>10106</v>
      </c>
      <c r="C30" s="40"/>
    </row>
    <row r="31" spans="1:14" ht="14.5" x14ac:dyDescent="0.35">
      <c r="A31" s="7">
        <v>10110</v>
      </c>
      <c r="B31" s="11">
        <v>10114</v>
      </c>
      <c r="C31" s="40"/>
    </row>
    <row r="32" spans="1:14" ht="14.5" x14ac:dyDescent="0.35">
      <c r="A32" s="7">
        <v>10104</v>
      </c>
      <c r="B32" s="11">
        <v>10106</v>
      </c>
      <c r="C32" s="40"/>
    </row>
    <row r="33" spans="1:3" ht="14.5" x14ac:dyDescent="0.35">
      <c r="A33" s="7">
        <v>10110</v>
      </c>
      <c r="B33" s="11">
        <v>10112</v>
      </c>
      <c r="C33" s="40"/>
    </row>
    <row r="34" spans="1:3" ht="14.5" x14ac:dyDescent="0.35">
      <c r="A34" s="7">
        <v>10100</v>
      </c>
      <c r="B34" s="11">
        <v>10114</v>
      </c>
      <c r="C34" s="40"/>
    </row>
    <row r="35" spans="1:3" ht="14.5" x14ac:dyDescent="0.35">
      <c r="A35" s="8">
        <v>10112</v>
      </c>
      <c r="B35" s="12">
        <v>10116</v>
      </c>
      <c r="C35" s="4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Instructions</vt:lpstr>
      <vt:lpstr>Dataset</vt:lpstr>
      <vt:lpstr>Task_1</vt:lpstr>
      <vt:lpstr>Task_2</vt:lpstr>
      <vt:lpstr>Task_3</vt:lpstr>
      <vt:lpstr>Task_4</vt:lpstr>
      <vt:lpstr>Task_5</vt:lpstr>
      <vt:lpstr>Table_A</vt:lpstr>
      <vt:lpstr>Table_B</vt:lpstr>
      <vt:lpstr>Table_C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Omkar Khadake</cp:lastModifiedBy>
  <dcterms:created xsi:type="dcterms:W3CDTF">2015-02-10T17:33:11Z</dcterms:created>
  <dcterms:modified xsi:type="dcterms:W3CDTF">2023-12-10T10:31:04Z</dcterms:modified>
</cp:coreProperties>
</file>